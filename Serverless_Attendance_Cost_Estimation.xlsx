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ssumptions" sheetId="2" state="visible" r:id="rId4"/>
    <sheet name="Usage Calculation" sheetId="3" state="visible" r:id="rId5"/>
    <sheet name="Cost Calculation" sheetId="4" state="visible" r:id="rId6"/>
    <sheet name="Before vs After" sheetId="5" state="visible" r:id="rId7"/>
    <sheet name="Pricing 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<sst xmlns="http://schemas.openxmlformats.org/spreadsheetml/2006/main" count="199" uniqueCount="178">
  <si>
    <t xml:space="preserve">Serverless Attendance System — Cost Estimate</t>
  </si>
  <si>
    <t xml:space="preserve">Item</t>
  </si>
  <si>
    <t xml:space="preserve">Details</t>
  </si>
  <si>
    <t xml:space="preserve">Purpose</t>
  </si>
  <si>
    <t xml:space="preserve">Submission-ready three-tier cost model for the Serverless Attendance System with Face Recognition.</t>
  </si>
  <si>
    <t xml:space="preserve">Workloads</t>
  </si>
  <si>
    <t xml:space="preserve">10, 500 and 5,000 users/day, 30-day month.</t>
  </si>
  <si>
    <t xml:space="preserve">Pricing basis</t>
  </si>
  <si>
    <t xml:space="preserve">Public AWS list prices; account-specific credits/discounts are excluded. Service-specific included allowances are applied where explicitly modeled.</t>
  </si>
  <si>
    <t xml:space="preserve">Observed architecture</t>
  </si>
  <si>
    <t xml:space="preserve">S3, Lambda, Rekognition, DynamoDB, API Gateway, EventBridge Scheduler, CloudWatch and IAM. The report identifies the AWS region as us-west-1.</t>
  </si>
  <si>
    <t xml:space="preserve">Model assumptions</t>
  </si>
  <si>
    <t xml:space="preserve">2 attendance scans/user/day; 4 API requests/user/day; 10 Lambda invocations/user/day; 256 MB Lambda memory; 0.50 sec average Lambda duration; 50 KB average attendance image; 3 KB logs/invocation; 100% X-Ray sampling.</t>
  </si>
  <si>
    <t xml:space="preserve">Important limitation</t>
  </si>
  <si>
    <t xml:space="preserve">The supplied project report does not provide measured monthly traffic or Lambda memory/duration for all functions. Those values are explicit planning assumptions, not observed production measurements.</t>
  </si>
  <si>
    <t xml:space="preserve">Cost optimization</t>
  </si>
  <si>
    <t xml:space="preserve">Modeled Lambda ARM64/Graviton migration. This is a cost-model scenario and is not claimed as an already-applied production change.</t>
  </si>
  <si>
    <t xml:space="preserve">Region note</t>
  </si>
  <si>
    <t xml:space="preserve">The report's test environment states us-west-1 (US West / N. California). Verify the final AWS Billing region before submitting a live estimate.</t>
  </si>
  <si>
    <t xml:space="preserve">Serverless Attendance System — Cost Estimation</t>
  </si>
  <si>
    <t xml:space="preserve">Assumption</t>
  </si>
  <si>
    <t xml:space="preserve">Value</t>
  </si>
  <si>
    <t xml:space="preserve">Basis / note</t>
  </si>
  <si>
    <t xml:space="preserve">AWS Region</t>
  </si>
  <si>
    <t xml:space="preserve">us-west-1 (US West / N. California)</t>
  </si>
  <si>
    <t xml:space="preserve">Observed in the report's Test Environment section.</t>
  </si>
  <si>
    <t xml:space="preserve">Users/day — Low</t>
  </si>
  <si>
    <t xml:space="preserve">Three-tier assignment workload.</t>
  </si>
  <si>
    <t xml:space="preserve">Users/day — Medium</t>
  </si>
  <si>
    <t xml:space="preserve">Users/day — High</t>
  </si>
  <si>
    <t xml:space="preserve">Days/month</t>
  </si>
  <si>
    <t xml:space="preserve">Cost-model assumption.</t>
  </si>
  <si>
    <t xml:space="preserve">Attendance scans/user/day</t>
  </si>
  <si>
    <t xml:space="preserve">Planning assumption: one clock-in and one clock-out scan.</t>
  </si>
  <si>
    <t xml:space="preserve">API requests/user/day</t>
  </si>
  <si>
    <t xml:space="preserve">Planning assumption: two upload-url requests + two dashboard/admin requests.</t>
  </si>
  <si>
    <t xml:space="preserve">Lambda invocations/user/day</t>
  </si>
  <si>
    <t xml:space="preserve">Planning assumption: 2 upload workflow + 2 recognition + 2 verification + 2 attendance processing + 2 admin/API invocations.</t>
  </si>
  <si>
    <t xml:space="preserve">Lambda memory (MB)</t>
  </si>
  <si>
    <t xml:space="preserve">Planning assumption; report confirms Lambda but does not provide a single measured memory setting for all functions.</t>
  </si>
  <si>
    <t xml:space="preserve">Lambda duration (seconds)</t>
  </si>
  <si>
    <t xml:space="preserve">Planning assumption for cost model; not a measured full-workload value.</t>
  </si>
  <si>
    <t xml:space="preserve">Average attendance image (KB)</t>
  </si>
  <si>
    <t xml:space="preserve">Planning assumption for uploaded face images.</t>
  </si>
  <si>
    <t xml:space="preserve">CloudWatch log volume/invocation (KB)</t>
  </si>
  <si>
    <t xml:space="preserve">Planning assumption.</t>
  </si>
  <si>
    <t xml:space="preserve">DynamoDB reads/user/day</t>
  </si>
  <si>
    <t xml:space="preserve">Planning assumption across two attendance events.</t>
  </si>
  <si>
    <t xml:space="preserve">DynamoDB writes/user/day</t>
  </si>
  <si>
    <t xml:space="preserve">Planning assumption: one attendance record update per scan/day pair.</t>
  </si>
  <si>
    <t xml:space="preserve">X-Ray sampling</t>
  </si>
  <si>
    <t xml:space="preserve">100%</t>
  </si>
  <si>
    <t xml:space="preserve">Conservative planning assumption.</t>
  </si>
  <si>
    <t xml:space="preserve">EventBridge Scheduler invocations/month</t>
  </si>
  <si>
    <t xml:space="preserve">One daily absence-processing invocation per day.</t>
  </si>
  <si>
    <t xml:space="preserve">AWS public list prices</t>
  </si>
  <si>
    <t xml:space="preserve">Free-tier credits/negotiated discounts excluded; explicit service allowances used where applicable.</t>
  </si>
  <si>
    <t xml:space="preserve">Observed AWS resource inventory</t>
  </si>
  <si>
    <t xml:space="preserve">S3 bucket</t>
  </si>
  <si>
    <t xml:space="preserve">serverless-attendance-system-nishant-2026</t>
  </si>
  <si>
    <t xml:space="preserve">Frontend, attendance input, registration images and reports.</t>
  </si>
  <si>
    <t xml:space="preserve">Additional S3 bucket</t>
  </si>
  <si>
    <t xml:space="preserve">sa-hr-admin-face-2026</t>
  </si>
  <si>
    <t xml:space="preserve">HR/admin-facing object storage visible in resource summary.</t>
  </si>
  <si>
    <t xml:space="preserve">DynamoDB tables</t>
  </si>
  <si>
    <t xml:space="preserve">serverless-attendance; serverless-attendance-employees; serverless-verification-results</t>
  </si>
  <si>
    <t xml:space="preserve">Attendance, employee master and verification results.</t>
  </si>
  <si>
    <t xml:space="preserve">Lambda functions</t>
  </si>
  <si>
    <t xml:space="preserve">sa-register-employee; sa-recognize-face; upload_image; sa-admin-api; sa-weekly-analytics; sa-daily-absence; sa-verification-result; sa-process-attendance</t>
  </si>
  <si>
    <t xml:space="preserve">Resource inventory from Appendix A.</t>
  </si>
  <si>
    <t xml:space="preserve">API Gateway</t>
  </si>
  <si>
    <t xml:space="preserve">sa-admin-api</t>
  </si>
  <si>
    <t xml:space="preserve">Browser-facing HTTP API; routes include /analytics, /attendance, /employees, /upload-url, /register and /verification.</t>
  </si>
  <si>
    <t xml:space="preserve">Scheduler</t>
  </si>
  <si>
    <t xml:space="preserve">EventBridge / Scheduler</t>
  </si>
  <si>
    <t xml:space="preserve">Daily absence processing.</t>
  </si>
  <si>
    <t xml:space="preserve">Monitoring</t>
  </si>
  <si>
    <t xml:space="preserve">Amazon CloudWatch</t>
  </si>
  <si>
    <t xml:space="preserve">Execution logs and operational monitoring.</t>
  </si>
  <si>
    <t xml:space="preserve">Monthly Usage Calculation — Attendance</t>
  </si>
  <si>
    <t xml:space="preserve">Metric</t>
  </si>
  <si>
    <t xml:space="preserve">Formula / basis</t>
  </si>
  <si>
    <t xml:space="preserve">10 users/day</t>
  </si>
  <si>
    <t xml:space="preserve">500 users/day</t>
  </si>
  <si>
    <t xml:space="preserve">5,000 users/day</t>
  </si>
  <si>
    <t xml:space="preserve">API requests/month</t>
  </si>
  <si>
    <t xml:space="preserve">users × 4 API requests/user/day × 30</t>
  </si>
  <si>
    <t xml:space="preserve">Lambda invocations/month</t>
  </si>
  <si>
    <t xml:space="preserve">users × 10 Lambda invocations/user/day × 30</t>
  </si>
  <si>
    <t xml:space="preserve">Lambda GB-seconds/month</t>
  </si>
  <si>
    <t xml:space="preserve">invocations × 256/1024 GB × 0.50 sec</t>
  </si>
  <si>
    <t xml:space="preserve">Face-search images/month</t>
  </si>
  <si>
    <t xml:space="preserve">users × 2 attendance scans/day × 30</t>
  </si>
  <si>
    <t xml:space="preserve">DynamoDB reads/month</t>
  </si>
  <si>
    <t xml:space="preserve">users × 8 reads/user/day × 30</t>
  </si>
  <si>
    <t xml:space="preserve">DynamoDB writes/month</t>
  </si>
  <si>
    <t xml:space="preserve">users × 2 writes/user/day × 30</t>
  </si>
  <si>
    <t xml:space="preserve">S3 PUT requests/month</t>
  </si>
  <si>
    <t xml:space="preserve">one image per attendance scan</t>
  </si>
  <si>
    <t xml:space="preserve">S3 GET requests/month</t>
  </si>
  <si>
    <t xml:space="preserve">planning allowance: 0.5 image/report reads per user/day</t>
  </si>
  <si>
    <t xml:space="preserve">S3 storage added/month (GB)</t>
  </si>
  <si>
    <t xml:space="preserve">uploads × 50 KB ÷ 1024 ÷ 1024</t>
  </si>
  <si>
    <t xml:space="preserve">CloudWatch log ingestion (GB/month)</t>
  </si>
  <si>
    <t xml:space="preserve">Lambda invocations × 3 KB ÷ 1024 ÷ 1024</t>
  </si>
  <si>
    <t xml:space="preserve">X-Ray traces/month</t>
  </si>
  <si>
    <t xml:space="preserve">API requests × 100% sampling</t>
  </si>
  <si>
    <t xml:space="preserve">one daily scheduled absence job</t>
  </si>
  <si>
    <t xml:space="preserve">Monthly Cost Estimate — AWS us-west-1</t>
  </si>
  <si>
    <t xml:space="preserve">Component</t>
  </si>
  <si>
    <t xml:space="preserve">Notes</t>
  </si>
  <si>
    <t xml:space="preserve">Lambda</t>
  </si>
  <si>
    <t xml:space="preserve">$0.20/M requests + $0.0000166667/GB-s x86</t>
  </si>
  <si>
    <t xml:space="preserve">Gross list-price model; no account credits/discounts.</t>
  </si>
  <si>
    <t xml:space="preserve">$3.50/M Regional REST API calls</t>
  </si>
  <si>
    <t xml:space="preserve">Data-transfer charges excluded because payload sizes are not fully evidenced.</t>
  </si>
  <si>
    <t xml:space="preserve">DynamoDB</t>
  </si>
  <si>
    <t xml:space="preserve">$0.125/M reads + $0.625/M writes</t>
  </si>
  <si>
    <t xml:space="preserve">On-demand model; storage charge omitted because modeled data volume is small.</t>
  </si>
  <si>
    <t xml:space="preserve">S3</t>
  </si>
  <si>
    <t xml:space="preserve">$0.023/GB-month + $0.005/1K PUT + $0.0004/1K GET</t>
  </si>
  <si>
    <t xml:space="preserve">Uses 50 KB average image assumption.</t>
  </si>
  <si>
    <t xml:space="preserve">CloudWatch</t>
  </si>
  <si>
    <t xml:space="preserve">$0.50/GB ingest + $0.03/GB-month archive</t>
  </si>
  <si>
    <t xml:space="preserve">One month of retained logs modeled.</t>
  </si>
  <si>
    <t xml:space="preserve">X-Ray</t>
  </si>
  <si>
    <t xml:space="preserve">$5/M traces after first 100K/month</t>
  </si>
  <si>
    <t xml:space="preserve">100% sampling assumption.</t>
  </si>
  <si>
    <t xml:space="preserve">Amazon Rekognition</t>
  </si>
  <si>
    <t xml:space="preserve">$0.001/image for Group 1 face-search APIs (first tier)</t>
  </si>
  <si>
    <t xml:space="preserve">SearchFacesByImage/related Group 1 image analysis; face metadata storage not separately modeled.</t>
  </si>
  <si>
    <t xml:space="preserve">EventBridge Scheduler</t>
  </si>
  <si>
    <t xml:space="preserve">$1/M invocations after 14M free invocations</t>
  </si>
  <si>
    <t xml:space="preserve">30 scheduled invocations/month remain within the included allowance.</t>
  </si>
  <si>
    <t xml:space="preserve">TOTAL</t>
  </si>
  <si>
    <t xml:space="preserve">Gross monthly list-price estimate.</t>
  </si>
  <si>
    <t xml:space="preserve">Cost Optimization — Modeled Lambda ARM64 Migration</t>
  </si>
  <si>
    <t xml:space="preserve">Optimization</t>
  </si>
  <si>
    <t xml:space="preserve">Move Lambda functions from x86_64 to arm64/Graviton after compatibility and performance testing.</t>
  </si>
  <si>
    <t xml:space="preserve">Status</t>
  </si>
  <si>
    <t xml:space="preserve">MODELED — not claimed as implemented in AWS from the supplied project report.</t>
  </si>
  <si>
    <t xml:space="preserve">Why</t>
  </si>
  <si>
    <t xml:space="preserve">Lambda ARM64 can reduce duration pricing versus x86; validate actual execution time and dependency compatibility before production migration.</t>
  </si>
  <si>
    <t xml:space="preserve">Expected duration-price reduction</t>
  </si>
  <si>
    <t xml:space="preserve">20% modeled reduction for the Lambda duration component.</t>
  </si>
  <si>
    <t xml:space="preserve">Workload</t>
  </si>
  <si>
    <t xml:space="preserve">Baseline total</t>
  </si>
  <si>
    <t xml:space="preserve">Modeled ARM64 total</t>
  </si>
  <si>
    <t xml:space="preserve">Modeled savings</t>
  </si>
  <si>
    <t xml:space="preserve">Savings %</t>
  </si>
  <si>
    <t xml:space="preserve">AWS Pricing Sources — checked September 2026</t>
  </si>
  <si>
    <t xml:space="preserve">Service</t>
  </si>
  <si>
    <t xml:space="preserve">Rate used</t>
  </si>
  <si>
    <t xml:space="preserve">Source</t>
  </si>
  <si>
    <t xml:space="preserve">URL</t>
  </si>
  <si>
    <t xml:space="preserve">$0.20/M requests; $0.0000166667/GB-s x86; ARM modeled at 20% lower duration price</t>
  </si>
  <si>
    <t xml:space="preserve">AWS Lambda Pricing</t>
  </si>
  <si>
    <t xml:space="preserve">https://aws.amazon.com/lambda/pricing/</t>
  </si>
  <si>
    <t xml:space="preserve">Amazon API Gateway Pricing</t>
  </si>
  <si>
    <t xml:space="preserve">https://aws.amazon.com/api-gateway/pricing/</t>
  </si>
  <si>
    <t xml:space="preserve">$0.125/M reads; $0.625/M writes</t>
  </si>
  <si>
    <t xml:space="preserve">Amazon DynamoDB Pricing</t>
  </si>
  <si>
    <t xml:space="preserve">https://aws.amazon.com/dynamodb/pricing/</t>
  </si>
  <si>
    <t xml:space="preserve">$0.023/GB-month; $0.005/1K PUT; $0.0004/1K GET</t>
  </si>
  <si>
    <t xml:space="preserve">Amazon S3 Pricing</t>
  </si>
  <si>
    <t xml:space="preserve">https://aws.amazon.com/s3/pricing/</t>
  </si>
  <si>
    <t xml:space="preserve">$0.50/GB log ingestion; $0.03/GB-month archive</t>
  </si>
  <si>
    <t xml:space="preserve">Amazon CloudWatch Pricing</t>
  </si>
  <si>
    <t xml:space="preserve">https://aws.amazon.com/cloudwatch/pricing/</t>
  </si>
  <si>
    <t xml:space="preserve">$5/M recorded traces after first 100K</t>
  </si>
  <si>
    <t xml:space="preserve">AWS X-Ray / CloudWatch Pricing</t>
  </si>
  <si>
    <t xml:space="preserve">Rekognition</t>
  </si>
  <si>
    <t xml:space="preserve">Group 1 image analysis: $0.001/image for first 1M images</t>
  </si>
  <si>
    <t xml:space="preserve">Amazon Rekognition Pricing</t>
  </si>
  <si>
    <t xml:space="preserve">https://aws.amazon.com/rekognition/pricing/</t>
  </si>
  <si>
    <t xml:space="preserve">14M invocations/month included; $1/M beyond allowance</t>
  </si>
  <si>
    <t xml:space="preserve">Amazon EventBridge Pricing</t>
  </si>
  <si>
    <t xml:space="preserve">https://aws.amazon.com/eventbridge/pricing/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</si>
</sst>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0"/>
    <numFmt numFmtId="166" formatCode="\$0.0000"/>
    <numFmt numFmtId="167" formatCode="0.00%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757575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A1A1A"/>
      <name val="Calibri"/>
      <family val="2"/>
    </font>
    <font>
      <b val="true"/>
      <sz val="11"/>
      <name val="Calibri"/>
      <family val="0"/>
      <charset val="1"/>
    </font>
    <font>
      <sz val="12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Monthly Cost by Workload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Calculation'!$C$2:$E$2</c:f>
              <c:strCache>
                <c:ptCount val="3"/>
                <c:pt idx="0">
                  <c:v>10 users/day</c:v>
                </c:pt>
                <c:pt idx="1">
                  <c:v>500 users/day</c:v>
                </c:pt>
                <c:pt idx="2">
                  <c:v>5,000 users/day</c:v>
                </c:pt>
              </c:strCache>
            </c:strRef>
          </c:cat>
          <c:val>
            <c:numRef>
              <c:f>'Cost Calculation'!$C$10</c:f>
              <c:numCache>
                <c:formatCode>\$0.0000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Calculation'!$C$2:$E$2</c:f>
              <c:strCache>
                <c:ptCount val="3"/>
                <c:pt idx="0">
                  <c:v>10 users/day</c:v>
                </c:pt>
                <c:pt idx="1">
                  <c:v>500 users/day</c:v>
                </c:pt>
                <c:pt idx="2">
                  <c:v>5,000 users/day</c:v>
                </c:pt>
              </c:strCache>
            </c:strRef>
          </c:cat>
          <c:val>
            <c:numRef>
              <c:f>'Cost Calculation'!$D$10</c:f>
              <c:numCache>
                <c:formatCode>\$0.0000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Calculation'!$C$2:$E$2</c:f>
              <c:strCache>
                <c:ptCount val="3"/>
                <c:pt idx="0">
                  <c:v>10 users/day</c:v>
                </c:pt>
                <c:pt idx="1">
                  <c:v>500 users/day</c:v>
                </c:pt>
                <c:pt idx="2">
                  <c:v>5,000 users/day</c:v>
                </c:pt>
              </c:strCache>
            </c:strRef>
          </c:cat>
          <c:val>
            <c:numRef>
              <c:f>'Cost Calculation'!$E$10</c:f>
              <c:numCache>
                <c:formatCode>\$0.0000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54403288"/>
        <c:axId val="21886699"/>
      </c:barChart>
      <c:catAx>
        <c:axId val="544032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Workload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1886699"/>
        <c:crosses val="autoZero"/>
        <c:auto val="1"/>
        <c:lblAlgn val="ctr"/>
        <c:lblOffset val="100"/>
        <c:noMultiLvlLbl val="0"/>
      </c:catAx>
      <c:valAx>
        <c:axId val="2188669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USD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44032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12240</xdr:rowOff>
    </xdr:from>
    <xdr:to>
      <xdr:col>1</xdr:col>
      <xdr:colOff>3276000</xdr:colOff>
      <xdr:row>23</xdr:row>
      <xdr:rowOff>21240</xdr:rowOff>
    </xdr:to>
    <xdr:graphicFrame>
      <xdr:nvGraphicFramePr>
        <xdr:cNvPr id="0" name="Chart 1"/>
        <xdr:cNvGraphicFramePr/>
      </xdr:nvGraphicFramePr>
      <xdr:xfrm>
        <a:off x="0" y="2286000"/>
        <a:ext cx="5038200" cy="251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aws.amazon.com/lambda/pricing/" TargetMode="External"/><Relationship Id="rId2" Type="http://schemas.openxmlformats.org/officeDocument/2006/relationships/hyperlink" Target="https://aws.amazon.com/api-gateway/pricing/" TargetMode="External"/><Relationship Id="rId3" Type="http://schemas.openxmlformats.org/officeDocument/2006/relationships/hyperlink" Target="https://aws.amazon.com/dynamodb/pricing/" TargetMode="External"/><Relationship Id="rId4" Type="http://schemas.openxmlformats.org/officeDocument/2006/relationships/hyperlink" Target="https://aws.amazon.com/s3/pricing/" TargetMode="External"/><Relationship Id="rId5" Type="http://schemas.openxmlformats.org/officeDocument/2006/relationships/hyperlink" Target="https://aws.amazon.com/cloudwatch/pricing/" TargetMode="External"/><Relationship Id="rId6" Type="http://schemas.openxmlformats.org/officeDocument/2006/relationships/hyperlink" Target="https://aws.amazon.com/cloudwatch/pricing/" TargetMode="External"/><Relationship Id="rId7" Type="http://schemas.openxmlformats.org/officeDocument/2006/relationships/hyperlink" Target="https://aws.amazon.com/rekognition/pricing/" TargetMode="External"/><Relationship Id="rId8" Type="http://schemas.openxmlformats.org/officeDocument/2006/relationships/hyperlink" Target="https://aws.amazon.com/eventbridge/pricin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5"/>
    <col collapsed="false" customWidth="true" hidden="false" outlineLevel="0" max="26" min="3" style="0" width="8.7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/>
      <c r="D2" s="2"/>
    </row>
    <row r="3" customFormat="false" ht="15" hidden="false" customHeight="false" outlineLevel="0" collapsed="false">
      <c r="A3" s="3" t="s">
        <v>3</v>
      </c>
      <c r="B3" s="3" t="s">
        <v>4</v>
      </c>
      <c r="C3" s="3"/>
      <c r="D3" s="3"/>
    </row>
    <row r="4" customFormat="false" ht="15" hidden="false" customHeight="false" outlineLevel="0" collapsed="false">
      <c r="A4" s="3" t="s">
        <v>5</v>
      </c>
      <c r="B4" s="3" t="s">
        <v>6</v>
      </c>
      <c r="C4" s="3"/>
      <c r="D4" s="3"/>
    </row>
    <row r="5" customFormat="false" ht="28.35" hidden="false" customHeight="false" outlineLevel="0" collapsed="false">
      <c r="A5" s="3" t="s">
        <v>7</v>
      </c>
      <c r="B5" s="3" t="s">
        <v>8</v>
      </c>
      <c r="C5" s="3"/>
      <c r="D5" s="3"/>
    </row>
    <row r="6" customFormat="false" ht="28.35" hidden="false" customHeight="false" outlineLevel="0" collapsed="false">
      <c r="A6" s="3" t="s">
        <v>9</v>
      </c>
      <c r="B6" s="3" t="s">
        <v>10</v>
      </c>
      <c r="C6" s="3"/>
      <c r="D6" s="3"/>
    </row>
    <row r="7" customFormat="false" ht="28.35" hidden="false" customHeight="false" outlineLevel="0" collapsed="false">
      <c r="A7" s="3" t="s">
        <v>11</v>
      </c>
      <c r="B7" s="3" t="s">
        <v>12</v>
      </c>
      <c r="C7" s="3"/>
      <c r="D7" s="3"/>
    </row>
    <row r="8" customFormat="false" ht="28.35" hidden="false" customHeight="false" outlineLevel="0" collapsed="false">
      <c r="A8" s="3" t="s">
        <v>13</v>
      </c>
      <c r="B8" s="3" t="s">
        <v>14</v>
      </c>
      <c r="C8" s="3"/>
      <c r="D8" s="3"/>
    </row>
    <row r="9" customFormat="false" ht="28.35" hidden="false" customHeight="false" outlineLevel="0" collapsed="false">
      <c r="A9" s="3" t="s">
        <v>15</v>
      </c>
      <c r="B9" s="3" t="s">
        <v>16</v>
      </c>
      <c r="C9" s="3"/>
      <c r="D9" s="3"/>
    </row>
    <row r="10" customFormat="false" ht="28.35" hidden="false" customHeight="false" outlineLevel="0" collapsed="false">
      <c r="A10" s="3" t="s">
        <v>17</v>
      </c>
      <c r="B10" s="3" t="s">
        <v>18</v>
      </c>
      <c r="C10" s="3"/>
      <c r="D10" s="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2"/>
    <col collapsed="false" customWidth="true" hidden="false" outlineLevel="0" max="3" min="3" style="0" width="72"/>
    <col collapsed="false" customWidth="true" hidden="false" outlineLevel="0" max="26" min="4" style="0" width="8.71"/>
  </cols>
  <sheetData>
    <row r="1" customFormat="false" ht="17.35" hidden="false" customHeight="false" outlineLevel="0" collapsed="false">
      <c r="A1" s="1" t="s">
        <v>19</v>
      </c>
      <c r="B1" s="1"/>
      <c r="C1" s="1"/>
      <c r="D1" s="1"/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/>
    </row>
    <row r="3" customFormat="false" ht="15" hidden="false" customHeight="false" outlineLevel="0" collapsed="false">
      <c r="A3" s="3" t="s">
        <v>23</v>
      </c>
      <c r="B3" s="3" t="s">
        <v>24</v>
      </c>
      <c r="C3" s="3" t="s">
        <v>25</v>
      </c>
      <c r="D3" s="3"/>
    </row>
    <row r="4" customFormat="false" ht="15" hidden="false" customHeight="false" outlineLevel="0" collapsed="false">
      <c r="A4" s="3" t="s">
        <v>26</v>
      </c>
      <c r="B4" s="3" t="n">
        <v>10</v>
      </c>
      <c r="C4" s="3" t="s">
        <v>27</v>
      </c>
      <c r="D4" s="3"/>
    </row>
    <row r="5" customFormat="false" ht="15" hidden="false" customHeight="false" outlineLevel="0" collapsed="false">
      <c r="A5" s="3" t="s">
        <v>28</v>
      </c>
      <c r="B5" s="3" t="n">
        <v>500</v>
      </c>
      <c r="C5" s="3" t="s">
        <v>27</v>
      </c>
      <c r="D5" s="3"/>
    </row>
    <row r="6" customFormat="false" ht="15" hidden="false" customHeight="false" outlineLevel="0" collapsed="false">
      <c r="A6" s="3" t="s">
        <v>29</v>
      </c>
      <c r="B6" s="3" t="n">
        <v>5000</v>
      </c>
      <c r="C6" s="3" t="s">
        <v>27</v>
      </c>
      <c r="D6" s="3"/>
    </row>
    <row r="7" customFormat="false" ht="15" hidden="false" customHeight="false" outlineLevel="0" collapsed="false">
      <c r="A7" s="3" t="s">
        <v>30</v>
      </c>
      <c r="B7" s="3" t="n">
        <v>30</v>
      </c>
      <c r="C7" s="3" t="s">
        <v>31</v>
      </c>
      <c r="D7" s="3"/>
    </row>
    <row r="8" customFormat="false" ht="15" hidden="false" customHeight="false" outlineLevel="0" collapsed="false">
      <c r="A8" s="3" t="s">
        <v>32</v>
      </c>
      <c r="B8" s="3" t="n">
        <v>2</v>
      </c>
      <c r="C8" s="3" t="s">
        <v>33</v>
      </c>
      <c r="D8" s="3"/>
    </row>
    <row r="9" customFormat="false" ht="15" hidden="false" customHeight="false" outlineLevel="0" collapsed="false">
      <c r="A9" s="3" t="s">
        <v>34</v>
      </c>
      <c r="B9" s="3" t="n">
        <v>4</v>
      </c>
      <c r="C9" s="3" t="s">
        <v>35</v>
      </c>
      <c r="D9" s="3"/>
    </row>
    <row r="10" customFormat="false" ht="28.35" hidden="false" customHeight="false" outlineLevel="0" collapsed="false">
      <c r="A10" s="3" t="s">
        <v>36</v>
      </c>
      <c r="B10" s="3" t="n">
        <v>10</v>
      </c>
      <c r="C10" s="3" t="s">
        <v>37</v>
      </c>
      <c r="D10" s="3"/>
    </row>
    <row r="11" customFormat="false" ht="28.35" hidden="false" customHeight="false" outlineLevel="0" collapsed="false">
      <c r="A11" s="3" t="s">
        <v>38</v>
      </c>
      <c r="B11" s="3" t="n">
        <v>256</v>
      </c>
      <c r="C11" s="3" t="s">
        <v>39</v>
      </c>
      <c r="D11" s="3"/>
    </row>
    <row r="12" customFormat="false" ht="15" hidden="false" customHeight="false" outlineLevel="0" collapsed="false">
      <c r="A12" s="3" t="s">
        <v>40</v>
      </c>
      <c r="B12" s="3" t="n">
        <v>0.5</v>
      </c>
      <c r="C12" s="3" t="s">
        <v>41</v>
      </c>
      <c r="D12" s="3"/>
    </row>
    <row r="13" customFormat="false" ht="15" hidden="false" customHeight="false" outlineLevel="0" collapsed="false">
      <c r="A13" s="3" t="s">
        <v>42</v>
      </c>
      <c r="B13" s="3" t="n">
        <v>50</v>
      </c>
      <c r="C13" s="3" t="s">
        <v>43</v>
      </c>
      <c r="D13" s="3"/>
    </row>
    <row r="14" customFormat="false" ht="15" hidden="false" customHeight="false" outlineLevel="0" collapsed="false">
      <c r="A14" s="3" t="s">
        <v>44</v>
      </c>
      <c r="B14" s="3" t="n">
        <v>3</v>
      </c>
      <c r="C14" s="3" t="s">
        <v>45</v>
      </c>
      <c r="D14" s="3"/>
    </row>
    <row r="15" customFormat="false" ht="15" hidden="false" customHeight="false" outlineLevel="0" collapsed="false">
      <c r="A15" s="3" t="s">
        <v>46</v>
      </c>
      <c r="B15" s="3" t="n">
        <v>8</v>
      </c>
      <c r="C15" s="3" t="s">
        <v>47</v>
      </c>
      <c r="D15" s="3"/>
    </row>
    <row r="16" customFormat="false" ht="15" hidden="false" customHeight="false" outlineLevel="0" collapsed="false">
      <c r="A16" s="3" t="s">
        <v>48</v>
      </c>
      <c r="B16" s="3" t="n">
        <v>2</v>
      </c>
      <c r="C16" s="3" t="s">
        <v>49</v>
      </c>
      <c r="D16" s="3"/>
    </row>
    <row r="17" customFormat="false" ht="15" hidden="false" customHeight="false" outlineLevel="0" collapsed="false">
      <c r="A17" s="3" t="s">
        <v>50</v>
      </c>
      <c r="B17" s="3" t="s">
        <v>51</v>
      </c>
      <c r="C17" s="3" t="s">
        <v>52</v>
      </c>
      <c r="D17" s="3"/>
    </row>
    <row r="18" customFormat="false" ht="15" hidden="false" customHeight="false" outlineLevel="0" collapsed="false">
      <c r="A18" s="3" t="s">
        <v>53</v>
      </c>
      <c r="B18" s="3" t="n">
        <v>30</v>
      </c>
      <c r="C18" s="3" t="s">
        <v>54</v>
      </c>
      <c r="D18" s="3"/>
    </row>
    <row r="19" customFormat="false" ht="28.35" hidden="false" customHeight="false" outlineLevel="0" collapsed="false">
      <c r="A19" s="3" t="s">
        <v>7</v>
      </c>
      <c r="B19" s="3" t="s">
        <v>55</v>
      </c>
      <c r="C19" s="3" t="s">
        <v>56</v>
      </c>
      <c r="D19" s="3"/>
    </row>
    <row r="20" customFormat="false" ht="15" hidden="false" customHeight="false" outlineLevel="0" collapsed="false">
      <c r="A20" s="3"/>
      <c r="B20" s="3"/>
      <c r="C20" s="3"/>
      <c r="D20" s="3"/>
    </row>
    <row r="21" customFormat="false" ht="15.75" hidden="false" customHeight="true" outlineLevel="0" collapsed="false">
      <c r="A21" s="4" t="s">
        <v>57</v>
      </c>
      <c r="B21" s="4"/>
      <c r="C21" s="4"/>
      <c r="D21" s="3"/>
    </row>
    <row r="22" customFormat="false" ht="15.75" hidden="false" customHeight="true" outlineLevel="0" collapsed="false">
      <c r="A22" s="3" t="s">
        <v>58</v>
      </c>
      <c r="B22" s="3" t="s">
        <v>59</v>
      </c>
      <c r="C22" s="3" t="s">
        <v>60</v>
      </c>
      <c r="D22" s="3"/>
    </row>
    <row r="23" customFormat="false" ht="15.75" hidden="false" customHeight="true" outlineLevel="0" collapsed="false">
      <c r="A23" s="3" t="s">
        <v>61</v>
      </c>
      <c r="B23" s="3" t="s">
        <v>62</v>
      </c>
      <c r="C23" s="3" t="s">
        <v>63</v>
      </c>
      <c r="D23" s="3"/>
    </row>
    <row r="24" customFormat="false" ht="15.75" hidden="false" customHeight="true" outlineLevel="0" collapsed="false">
      <c r="A24" s="3" t="s">
        <v>64</v>
      </c>
      <c r="B24" s="3" t="s">
        <v>65</v>
      </c>
      <c r="C24" s="3" t="s">
        <v>66</v>
      </c>
      <c r="D24" s="3"/>
    </row>
    <row r="25" customFormat="false" ht="15.75" hidden="false" customHeight="true" outlineLevel="0" collapsed="false">
      <c r="A25" s="3" t="s">
        <v>67</v>
      </c>
      <c r="B25" s="3" t="s">
        <v>68</v>
      </c>
      <c r="C25" s="3" t="s">
        <v>69</v>
      </c>
      <c r="D25" s="3"/>
    </row>
    <row r="26" customFormat="false" ht="15.75" hidden="false" customHeight="true" outlineLevel="0" collapsed="false">
      <c r="A26" s="3" t="s">
        <v>70</v>
      </c>
      <c r="B26" s="3" t="s">
        <v>71</v>
      </c>
      <c r="C26" s="3" t="s">
        <v>72</v>
      </c>
      <c r="D26" s="3"/>
    </row>
    <row r="27" customFormat="false" ht="15.75" hidden="false" customHeight="true" outlineLevel="0" collapsed="false">
      <c r="A27" s="3" t="s">
        <v>73</v>
      </c>
      <c r="B27" s="3" t="s">
        <v>74</v>
      </c>
      <c r="C27" s="3" t="s">
        <v>75</v>
      </c>
      <c r="D27" s="3"/>
    </row>
    <row r="28" customFormat="false" ht="15.75" hidden="false" customHeight="true" outlineLevel="0" collapsed="false">
      <c r="A28" s="3" t="s">
        <v>76</v>
      </c>
      <c r="B28" s="3" t="s">
        <v>77</v>
      </c>
      <c r="C28" s="3" t="s">
        <v>78</v>
      </c>
      <c r="D28" s="3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6"/>
    <col collapsed="false" customWidth="true" hidden="false" outlineLevel="0" max="5" min="3" style="0" width="18"/>
    <col collapsed="false" customWidth="true" hidden="false" outlineLevel="0" max="26" min="6" style="0" width="8.71"/>
  </cols>
  <sheetData>
    <row r="1" customFormat="false" ht="17.35" hidden="false" customHeight="false" outlineLevel="0" collapsed="false">
      <c r="A1" s="1" t="s">
        <v>79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</row>
    <row r="3" customFormat="false" ht="15" hidden="false" customHeight="false" outlineLevel="0" collapsed="false">
      <c r="A3" s="3" t="s">
        <v>85</v>
      </c>
      <c r="B3" s="3" t="s">
        <v>86</v>
      </c>
      <c r="C3" s="5" t="n">
        <f aca="false">10*4*30</f>
        <v>1200</v>
      </c>
      <c r="D3" s="5" t="n">
        <f aca="false">500*4*30</f>
        <v>60000</v>
      </c>
      <c r="E3" s="5" t="n">
        <f aca="false">5000*4*30</f>
        <v>600000</v>
      </c>
    </row>
    <row r="4" customFormat="false" ht="15" hidden="false" customHeight="false" outlineLevel="0" collapsed="false">
      <c r="A4" s="3" t="s">
        <v>87</v>
      </c>
      <c r="B4" s="3" t="s">
        <v>88</v>
      </c>
      <c r="C4" s="5" t="n">
        <f aca="false">10*10*30</f>
        <v>3000</v>
      </c>
      <c r="D4" s="5" t="n">
        <f aca="false">500*10*30</f>
        <v>150000</v>
      </c>
      <c r="E4" s="5" t="n">
        <f aca="false">5000*10*30</f>
        <v>1500000</v>
      </c>
    </row>
    <row r="5" customFormat="false" ht="15" hidden="false" customHeight="false" outlineLevel="0" collapsed="false">
      <c r="A5" s="3" t="s">
        <v>89</v>
      </c>
      <c r="B5" s="3" t="s">
        <v>90</v>
      </c>
      <c r="C5" s="5" t="n">
        <f aca="false">C4*256/1024*0.5</f>
        <v>375</v>
      </c>
      <c r="D5" s="5" t="n">
        <f aca="false">D4*256/1024*0.5</f>
        <v>18750</v>
      </c>
      <c r="E5" s="5" t="n">
        <f aca="false">E4*256/1024*0.5</f>
        <v>187500</v>
      </c>
    </row>
    <row r="6" customFormat="false" ht="15" hidden="false" customHeight="false" outlineLevel="0" collapsed="false">
      <c r="A6" s="3" t="s">
        <v>91</v>
      </c>
      <c r="B6" s="3" t="s">
        <v>92</v>
      </c>
      <c r="C6" s="5" t="n">
        <f aca="false">10*2*30</f>
        <v>600</v>
      </c>
      <c r="D6" s="5" t="n">
        <f aca="false">500*2*30</f>
        <v>30000</v>
      </c>
      <c r="E6" s="5" t="n">
        <f aca="false">5000*2*30</f>
        <v>300000</v>
      </c>
    </row>
    <row r="7" customFormat="false" ht="15" hidden="false" customHeight="false" outlineLevel="0" collapsed="false">
      <c r="A7" s="3" t="s">
        <v>93</v>
      </c>
      <c r="B7" s="3" t="s">
        <v>94</v>
      </c>
      <c r="C7" s="5" t="n">
        <f aca="false">10*8*30</f>
        <v>2400</v>
      </c>
      <c r="D7" s="5" t="n">
        <f aca="false">500*8*30</f>
        <v>120000</v>
      </c>
      <c r="E7" s="5" t="n">
        <f aca="false">5000*8*30</f>
        <v>1200000</v>
      </c>
    </row>
    <row r="8" customFormat="false" ht="15" hidden="false" customHeight="false" outlineLevel="0" collapsed="false">
      <c r="A8" s="3" t="s">
        <v>95</v>
      </c>
      <c r="B8" s="3" t="s">
        <v>96</v>
      </c>
      <c r="C8" s="5" t="n">
        <f aca="false">10*2*30</f>
        <v>600</v>
      </c>
      <c r="D8" s="5" t="n">
        <f aca="false">500*2*30</f>
        <v>30000</v>
      </c>
      <c r="E8" s="5" t="n">
        <f aca="false">5000*2*30</f>
        <v>300000</v>
      </c>
    </row>
    <row r="9" customFormat="false" ht="15" hidden="false" customHeight="false" outlineLevel="0" collapsed="false">
      <c r="A9" s="3" t="s">
        <v>97</v>
      </c>
      <c r="B9" s="3" t="s">
        <v>98</v>
      </c>
      <c r="C9" s="5" t="n">
        <f aca="false">C6</f>
        <v>600</v>
      </c>
      <c r="D9" s="5" t="n">
        <f aca="false">D6</f>
        <v>30000</v>
      </c>
      <c r="E9" s="5" t="n">
        <f aca="false">E6</f>
        <v>300000</v>
      </c>
    </row>
    <row r="10" customFormat="false" ht="15" hidden="false" customHeight="false" outlineLevel="0" collapsed="false">
      <c r="A10" s="3" t="s">
        <v>99</v>
      </c>
      <c r="B10" s="3" t="s">
        <v>100</v>
      </c>
      <c r="C10" s="5" t="n">
        <f aca="false">10*0.5*30</f>
        <v>150</v>
      </c>
      <c r="D10" s="5" t="n">
        <f aca="false">500*0.5*30</f>
        <v>7500</v>
      </c>
      <c r="E10" s="5" t="n">
        <f aca="false">5000*0.5*30</f>
        <v>75000</v>
      </c>
    </row>
    <row r="11" customFormat="false" ht="15" hidden="false" customHeight="false" outlineLevel="0" collapsed="false">
      <c r="A11" s="3" t="s">
        <v>101</v>
      </c>
      <c r="B11" s="3" t="s">
        <v>102</v>
      </c>
      <c r="C11" s="5" t="n">
        <f aca="false">C9*50/1024/1024</f>
        <v>0.0286102294921875</v>
      </c>
      <c r="D11" s="5" t="n">
        <f aca="false">D9*50/1024/1024</f>
        <v>1.43051147460938</v>
      </c>
      <c r="E11" s="5" t="n">
        <f aca="false">E9*50/1024/1024</f>
        <v>14.3051147460938</v>
      </c>
    </row>
    <row r="12" customFormat="false" ht="15" hidden="false" customHeight="false" outlineLevel="0" collapsed="false">
      <c r="A12" s="3" t="s">
        <v>103</v>
      </c>
      <c r="B12" s="3" t="s">
        <v>104</v>
      </c>
      <c r="C12" s="5" t="n">
        <f aca="false">C4*3/1024/1024</f>
        <v>0.00858306884765625</v>
      </c>
      <c r="D12" s="5" t="n">
        <f aca="false">D4*3/1024/1024</f>
        <v>0.429153442382813</v>
      </c>
      <c r="E12" s="5" t="n">
        <f aca="false">E4*3/1024/1024</f>
        <v>4.29153442382813</v>
      </c>
    </row>
    <row r="13" customFormat="false" ht="15" hidden="false" customHeight="false" outlineLevel="0" collapsed="false">
      <c r="A13" s="3" t="s">
        <v>105</v>
      </c>
      <c r="B13" s="3" t="s">
        <v>106</v>
      </c>
      <c r="C13" s="5" t="n">
        <f aca="false">C3</f>
        <v>1200</v>
      </c>
      <c r="D13" s="5" t="n">
        <f aca="false">D3</f>
        <v>60000</v>
      </c>
      <c r="E13" s="5" t="n">
        <f aca="false">E3</f>
        <v>600000</v>
      </c>
    </row>
    <row r="14" customFormat="false" ht="15" hidden="false" customHeight="false" outlineLevel="0" collapsed="false">
      <c r="A14" s="3" t="s">
        <v>53</v>
      </c>
      <c r="B14" s="3" t="s">
        <v>107</v>
      </c>
      <c r="C14" s="5" t="n">
        <f aca="false">30</f>
        <v>30</v>
      </c>
      <c r="D14" s="5" t="n">
        <f aca="false">30</f>
        <v>30</v>
      </c>
      <c r="E14" s="5" t="n">
        <f aca="false">30</f>
        <v>30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5"/>
    <col collapsed="false" customWidth="true" hidden="false" outlineLevel="0" max="5" min="3" style="0" width="18"/>
    <col collapsed="false" customWidth="true" hidden="false" outlineLevel="0" max="6" min="6" style="0" width="70"/>
    <col collapsed="false" customWidth="true" hidden="false" outlineLevel="0" max="26" min="7" style="0" width="8.71"/>
  </cols>
  <sheetData>
    <row r="1" customFormat="false" ht="17.35" hidden="false" customHeight="false" outlineLevel="0" collapsed="false">
      <c r="A1" s="1" t="s">
        <v>108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109</v>
      </c>
      <c r="B2" s="2" t="s">
        <v>7</v>
      </c>
      <c r="C2" s="2" t="s">
        <v>82</v>
      </c>
      <c r="D2" s="2" t="s">
        <v>83</v>
      </c>
      <c r="E2" s="2" t="s">
        <v>84</v>
      </c>
      <c r="F2" s="2" t="s">
        <v>110</v>
      </c>
    </row>
    <row r="3" customFormat="false" ht="15" hidden="false" customHeight="false" outlineLevel="0" collapsed="false">
      <c r="A3" s="3" t="s">
        <v>111</v>
      </c>
      <c r="B3" s="3" t="s">
        <v>112</v>
      </c>
      <c r="C3" s="6" t="n">
        <f aca="false">'Usage Calculation'!C4/1000000*0.2+'Usage Calculation'!C5*0.0000166667</f>
        <v>0.0068500125</v>
      </c>
      <c r="D3" s="6" t="n">
        <f aca="false">'Usage Calculation'!D4/1000000*0.2+'Usage Calculation'!D5*0.0000166667</f>
        <v>0.342500625</v>
      </c>
      <c r="E3" s="6" t="n">
        <f aca="false">'Usage Calculation'!E4/1000000*0.2+'Usage Calculation'!E5*0.0000166667</f>
        <v>3.42500625</v>
      </c>
      <c r="F3" s="3" t="s">
        <v>113</v>
      </c>
    </row>
    <row r="4" customFormat="false" ht="15" hidden="false" customHeight="false" outlineLevel="0" collapsed="false">
      <c r="A4" s="3" t="s">
        <v>70</v>
      </c>
      <c r="B4" s="3" t="s">
        <v>114</v>
      </c>
      <c r="C4" s="6" t="n">
        <f aca="false">'Usage Calculation'!C3/1000000*3.5</f>
        <v>0.0042</v>
      </c>
      <c r="D4" s="6" t="n">
        <f aca="false">'Usage Calculation'!D3/1000000*3.5</f>
        <v>0.21</v>
      </c>
      <c r="E4" s="6" t="n">
        <f aca="false">'Usage Calculation'!E3/1000000*3.5</f>
        <v>2.1</v>
      </c>
      <c r="F4" s="3" t="s">
        <v>115</v>
      </c>
    </row>
    <row r="5" customFormat="false" ht="28.35" hidden="false" customHeight="false" outlineLevel="0" collapsed="false">
      <c r="A5" s="3" t="s">
        <v>116</v>
      </c>
      <c r="B5" s="3" t="s">
        <v>117</v>
      </c>
      <c r="C5" s="6" t="n">
        <f aca="false">'Usage Calculation'!C7/1000000*0.125+'Usage Calculation'!C8/1000000*0.625</f>
        <v>0.000675</v>
      </c>
      <c r="D5" s="6" t="n">
        <f aca="false">'Usage Calculation'!D7/1000000*0.125+'Usage Calculation'!D8/1000000*0.625</f>
        <v>0.03375</v>
      </c>
      <c r="E5" s="6" t="n">
        <f aca="false">'Usage Calculation'!E7/1000000*0.125+'Usage Calculation'!E8/1000000*0.625</f>
        <v>0.3375</v>
      </c>
      <c r="F5" s="3" t="s">
        <v>118</v>
      </c>
    </row>
    <row r="6" customFormat="false" ht="15" hidden="false" customHeight="false" outlineLevel="0" collapsed="false">
      <c r="A6" s="3" t="s">
        <v>119</v>
      </c>
      <c r="B6" s="3" t="s">
        <v>120</v>
      </c>
      <c r="C6" s="6" t="n">
        <f aca="false">'Usage Calculation'!C11*0.023+'Usage Calculation'!C9/1000*0.005+'Usage Calculation'!C10/1000*0.0004</f>
        <v>0.00371803527832031</v>
      </c>
      <c r="D6" s="6" t="n">
        <f aca="false">'Usage Calculation'!D11*0.023+'Usage Calculation'!D9/1000*0.005+'Usage Calculation'!D10/1000*0.0004</f>
        <v>0.185901763916016</v>
      </c>
      <c r="E6" s="6" t="n">
        <f aca="false">'Usage Calculation'!E11*0.023+'Usage Calculation'!E9/1000*0.005+'Usage Calculation'!E10/1000*0.0004</f>
        <v>1.85901763916016</v>
      </c>
      <c r="F6" s="3" t="s">
        <v>121</v>
      </c>
    </row>
    <row r="7" customFormat="false" ht="15" hidden="false" customHeight="false" outlineLevel="0" collapsed="false">
      <c r="A7" s="3" t="s">
        <v>122</v>
      </c>
      <c r="B7" s="3" t="s">
        <v>123</v>
      </c>
      <c r="C7" s="6" t="n">
        <f aca="false">'Usage Calculation'!C12*0.5+'Usage Calculation'!C12*0.03</f>
        <v>0.00454902648925781</v>
      </c>
      <c r="D7" s="6" t="n">
        <f aca="false">'Usage Calculation'!D12*0.5+'Usage Calculation'!D12*0.03</f>
        <v>0.227451324462891</v>
      </c>
      <c r="E7" s="6" t="n">
        <f aca="false">'Usage Calculation'!E12*0.5+'Usage Calculation'!E12*0.03</f>
        <v>2.27451324462891</v>
      </c>
      <c r="F7" s="3" t="s">
        <v>124</v>
      </c>
    </row>
    <row r="8" customFormat="false" ht="15" hidden="false" customHeight="false" outlineLevel="0" collapsed="false">
      <c r="A8" s="3" t="s">
        <v>125</v>
      </c>
      <c r="B8" s="3" t="s">
        <v>126</v>
      </c>
      <c r="C8" s="6" t="n">
        <f aca="false">MAX(0,'Usage Calculation'!C13-100000)/1000000*5</f>
        <v>0</v>
      </c>
      <c r="D8" s="6" t="n">
        <f aca="false">MAX(0,'Usage Calculation'!D13-100000)/1000000*5</f>
        <v>0</v>
      </c>
      <c r="E8" s="6" t="n">
        <f aca="false">MAX(0,'Usage Calculation'!E13-100000)/1000000*5</f>
        <v>2.5</v>
      </c>
      <c r="F8" s="3" t="s">
        <v>127</v>
      </c>
    </row>
    <row r="9" customFormat="false" ht="28.35" hidden="false" customHeight="false" outlineLevel="0" collapsed="false">
      <c r="A9" s="3" t="s">
        <v>128</v>
      </c>
      <c r="B9" s="3" t="s">
        <v>129</v>
      </c>
      <c r="C9" s="6" t="n">
        <f aca="false">'Usage Calculation'!C6*0.001</f>
        <v>0.6</v>
      </c>
      <c r="D9" s="6" t="n">
        <f aca="false">'Usage Calculation'!D6*0.001</f>
        <v>30</v>
      </c>
      <c r="E9" s="6" t="n">
        <f aca="false">'Usage Calculation'!E6*0.001</f>
        <v>300</v>
      </c>
      <c r="F9" s="3" t="s">
        <v>130</v>
      </c>
    </row>
    <row r="10" customFormat="false" ht="15" hidden="false" customHeight="false" outlineLevel="0" collapsed="false">
      <c r="A10" s="3" t="s">
        <v>131</v>
      </c>
      <c r="B10" s="3" t="s">
        <v>132</v>
      </c>
      <c r="C10" s="6" t="n">
        <f aca="false">MAX(0,'Usage Calculation'!C14-14000000)/1000000*1</f>
        <v>0</v>
      </c>
      <c r="D10" s="6" t="n">
        <f aca="false">MAX(0,'Usage Calculation'!D14-14000000)/1000000*1</f>
        <v>0</v>
      </c>
      <c r="E10" s="6" t="n">
        <f aca="false">MAX(0,'Usage Calculation'!E14-14000000)/1000000*1</f>
        <v>0</v>
      </c>
      <c r="F10" s="3" t="s">
        <v>133</v>
      </c>
    </row>
    <row r="11" customFormat="false" ht="15" hidden="false" customHeight="false" outlineLevel="0" collapsed="false">
      <c r="A11" s="3" t="s">
        <v>134</v>
      </c>
      <c r="B11" s="3"/>
      <c r="C11" s="6" t="n">
        <f aca="false">SUM(C3:C10)</f>
        <v>0.619992074267578</v>
      </c>
      <c r="D11" s="6" t="n">
        <f aca="false">SUM(D3:D10)</f>
        <v>30.9996037133789</v>
      </c>
      <c r="E11" s="6" t="n">
        <f aca="false">SUM(E3:E10)</f>
        <v>312.496037133789</v>
      </c>
      <c r="F11" s="3" t="s">
        <v>135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26" min="6" style="0" width="8.71"/>
  </cols>
  <sheetData>
    <row r="1" customFormat="false" ht="17.35" hidden="false" customHeight="false" outlineLevel="0" collapsed="false">
      <c r="A1" s="1" t="s">
        <v>136</v>
      </c>
      <c r="B1" s="1"/>
      <c r="C1" s="1"/>
      <c r="D1" s="1"/>
      <c r="E1" s="1"/>
      <c r="F1" s="1"/>
    </row>
    <row r="2" customFormat="false" ht="28.35" hidden="false" customHeight="false" outlineLevel="0" collapsed="false">
      <c r="A2" s="2" t="s">
        <v>137</v>
      </c>
      <c r="B2" s="2" t="s">
        <v>138</v>
      </c>
      <c r="C2" s="2"/>
      <c r="D2" s="2"/>
      <c r="E2" s="2"/>
      <c r="F2" s="2"/>
    </row>
    <row r="3" customFormat="false" ht="28.35" hidden="false" customHeight="false" outlineLevel="0" collapsed="false">
      <c r="A3" s="7" t="s">
        <v>139</v>
      </c>
      <c r="B3" s="3" t="s">
        <v>140</v>
      </c>
      <c r="C3" s="3"/>
      <c r="D3" s="3"/>
      <c r="E3" s="3"/>
      <c r="F3" s="3"/>
    </row>
    <row r="4" customFormat="false" ht="28.35" hidden="false" customHeight="false" outlineLevel="0" collapsed="false">
      <c r="A4" s="7" t="s">
        <v>141</v>
      </c>
      <c r="B4" s="3" t="s">
        <v>142</v>
      </c>
      <c r="C4" s="3"/>
      <c r="D4" s="3"/>
      <c r="E4" s="3"/>
      <c r="F4" s="3"/>
    </row>
    <row r="5" customFormat="false" ht="28.35" hidden="false" customHeight="false" outlineLevel="0" collapsed="false">
      <c r="A5" s="7" t="s">
        <v>143</v>
      </c>
      <c r="B5" s="3" t="s">
        <v>144</v>
      </c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7" customFormat="false" ht="15" hidden="false" customHeight="false" outlineLevel="0" collapsed="false">
      <c r="A7" s="3" t="s">
        <v>145</v>
      </c>
      <c r="B7" s="3" t="s">
        <v>146</v>
      </c>
      <c r="C7" s="3" t="s">
        <v>147</v>
      </c>
      <c r="D7" s="3" t="s">
        <v>148</v>
      </c>
      <c r="E7" s="3" t="s">
        <v>149</v>
      </c>
      <c r="F7" s="3"/>
    </row>
    <row r="8" customFormat="false" ht="15" hidden="false" customHeight="false" outlineLevel="0" collapsed="false">
      <c r="A8" s="8" t="s">
        <v>82</v>
      </c>
      <c r="B8" s="9" t="n">
        <f aca="false">'Cost Calculation'!C11</f>
        <v>0.619992074267578</v>
      </c>
      <c r="C8" s="9" t="n">
        <f aca="false">B8-'Cost Calculation'!C3*0.2</f>
        <v>0.618622071767578</v>
      </c>
      <c r="D8" s="9" t="n">
        <f aca="false">B8-C8</f>
        <v>0.00137000249999997</v>
      </c>
      <c r="E8" s="8" t="n">
        <f aca="false">D8/B8</f>
        <v>0.00220970969930286</v>
      </c>
      <c r="F8" s="8"/>
    </row>
    <row r="9" customFormat="false" ht="15" hidden="false" customHeight="false" outlineLevel="0" collapsed="false">
      <c r="A9" s="3" t="s">
        <v>83</v>
      </c>
      <c r="B9" s="6" t="n">
        <f aca="false">'Cost Calculation'!D11</f>
        <v>30.9996037133789</v>
      </c>
      <c r="C9" s="6" t="n">
        <f aca="false">B9-'Cost Calculation'!D3*0.2</f>
        <v>30.9311035883789</v>
      </c>
      <c r="D9" s="6" t="n">
        <f aca="false">B9-C9</f>
        <v>0.0685001249999999</v>
      </c>
      <c r="E9" s="10" t="n">
        <f aca="false">D9/B9</f>
        <v>0.00220970969930291</v>
      </c>
      <c r="F9" s="3"/>
    </row>
    <row r="10" customFormat="false" ht="15" hidden="false" customHeight="false" outlineLevel="0" collapsed="false">
      <c r="A10" s="3" t="s">
        <v>84</v>
      </c>
      <c r="B10" s="6" t="n">
        <f aca="false">'Cost Calculation'!E11</f>
        <v>312.496037133789</v>
      </c>
      <c r="C10" s="6" t="n">
        <f aca="false">B10-'Cost Calculation'!E3*0.2</f>
        <v>311.811035883789</v>
      </c>
      <c r="D10" s="6" t="n">
        <f aca="false">B10-C10</f>
        <v>0.685001250000028</v>
      </c>
      <c r="E10" s="10" t="n">
        <f aca="false">D10/B10</f>
        <v>0.00219203179753207</v>
      </c>
      <c r="F10" s="3"/>
    </row>
    <row r="11" customFormat="false" ht="15" hidden="false" customHeight="false" outlineLevel="0" collapsed="false">
      <c r="A11" s="3"/>
      <c r="B11" s="6"/>
      <c r="C11" s="6"/>
      <c r="D11" s="6"/>
      <c r="E11" s="10"/>
      <c r="F11" s="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34"/>
    <col collapsed="false" customWidth="true" hidden="false" outlineLevel="0" max="4" min="4" style="0" width="65"/>
    <col collapsed="false" customWidth="true" hidden="false" outlineLevel="0" max="26" min="5" style="0" width="8.71"/>
  </cols>
  <sheetData>
    <row r="1" customFormat="false" ht="17.35" hidden="false" customHeight="false" outlineLevel="0" collapsed="false">
      <c r="A1" s="1" t="s">
        <v>150</v>
      </c>
      <c r="B1" s="1"/>
      <c r="C1" s="1"/>
      <c r="D1" s="1"/>
    </row>
    <row r="2" customFormat="false" ht="15" hidden="false" customHeight="false" outlineLevel="0" collapsed="false">
      <c r="A2" s="2" t="s">
        <v>151</v>
      </c>
      <c r="B2" s="2" t="s">
        <v>152</v>
      </c>
      <c r="C2" s="2" t="s">
        <v>153</v>
      </c>
      <c r="D2" s="2" t="s">
        <v>154</v>
      </c>
    </row>
    <row r="3" customFormat="false" ht="28.35" hidden="false" customHeight="false" outlineLevel="0" collapsed="false">
      <c r="A3" s="3" t="s">
        <v>111</v>
      </c>
      <c r="B3" s="3" t="s">
        <v>155</v>
      </c>
      <c r="C3" s="3" t="s">
        <v>156</v>
      </c>
      <c r="D3" s="11" t="s">
        <v>157</v>
      </c>
    </row>
    <row r="4" customFormat="false" ht="15" hidden="false" customHeight="false" outlineLevel="0" collapsed="false">
      <c r="A4" s="3" t="s">
        <v>70</v>
      </c>
      <c r="B4" s="3" t="s">
        <v>114</v>
      </c>
      <c r="C4" s="3" t="s">
        <v>158</v>
      </c>
      <c r="D4" s="11" t="s">
        <v>159</v>
      </c>
    </row>
    <row r="5" customFormat="false" ht="15" hidden="false" customHeight="false" outlineLevel="0" collapsed="false">
      <c r="A5" s="3" t="s">
        <v>116</v>
      </c>
      <c r="B5" s="3" t="s">
        <v>160</v>
      </c>
      <c r="C5" s="3" t="s">
        <v>161</v>
      </c>
      <c r="D5" s="11" t="s">
        <v>162</v>
      </c>
    </row>
    <row r="6" customFormat="false" ht="15" hidden="false" customHeight="false" outlineLevel="0" collapsed="false">
      <c r="A6" s="3" t="s">
        <v>119</v>
      </c>
      <c r="B6" s="3" t="s">
        <v>163</v>
      </c>
      <c r="C6" s="3" t="s">
        <v>164</v>
      </c>
      <c r="D6" s="11" t="s">
        <v>165</v>
      </c>
    </row>
    <row r="7" customFormat="false" ht="15" hidden="false" customHeight="false" outlineLevel="0" collapsed="false">
      <c r="A7" s="3" t="s">
        <v>122</v>
      </c>
      <c r="B7" s="3" t="s">
        <v>166</v>
      </c>
      <c r="C7" s="3" t="s">
        <v>167</v>
      </c>
      <c r="D7" s="11" t="s">
        <v>168</v>
      </c>
    </row>
    <row r="8" customFormat="false" ht="15" hidden="false" customHeight="false" outlineLevel="0" collapsed="false">
      <c r="A8" s="3" t="s">
        <v>125</v>
      </c>
      <c r="B8" s="3" t="s">
        <v>169</v>
      </c>
      <c r="C8" s="3" t="s">
        <v>170</v>
      </c>
      <c r="D8" s="11" t="s">
        <v>168</v>
      </c>
    </row>
    <row r="9" customFormat="false" ht="15" hidden="false" customHeight="false" outlineLevel="0" collapsed="false">
      <c r="A9" s="3" t="s">
        <v>171</v>
      </c>
      <c r="B9" s="3" t="s">
        <v>172</v>
      </c>
      <c r="C9" s="3" t="s">
        <v>173</v>
      </c>
      <c r="D9" s="11" t="s">
        <v>174</v>
      </c>
    </row>
    <row r="10" customFormat="false" ht="15" hidden="false" customHeight="false" outlineLevel="0" collapsed="false">
      <c r="A10" s="3" t="s">
        <v>131</v>
      </c>
      <c r="B10" s="3" t="s">
        <v>175</v>
      </c>
      <c r="C10" s="3" t="s">
        <v>176</v>
      </c>
      <c r="D10" s="11" t="s">
        <v>177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hyperlinks>
    <hyperlink ref="D3" r:id="rId1" display="https://aws.amazon.com/lambda/pricing/"/>
    <hyperlink ref="D4" r:id="rId2" display="https://aws.amazon.com/api-gateway/pricing/"/>
    <hyperlink ref="D5" r:id="rId3" display="https://aws.amazon.com/dynamodb/pricing/"/>
    <hyperlink ref="D6" r:id="rId4" display="https://aws.amazon.com/s3/pricing/"/>
    <hyperlink ref="D7" r:id="rId5" display="https://aws.amazon.com/cloudwatch/pricing/"/>
    <hyperlink ref="D8" r:id="rId6" display="https://aws.amazon.com/cloudwatch/pricing/"/>
    <hyperlink ref="D9" r:id="rId7" display="https://aws.amazon.com/rekognition/pricing/"/>
    <hyperlink ref="D10" r:id="rId8" display="https://aws.amazon.com/eventbridge/pricin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2026-09-16T16:17:10Z</dcterms:created>
  <dc:creator>openpyxl</dc:creator>
  <dc:description/>
  <dc:language>en-US</dc:language>
  <cp:lastModifiedBy/>
  <dcterms:modified xsi:type="dcterms:W3CDTF">2026-09-16T16:17:57Z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